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daniel_perezmorera_ucr_ac_cr/Documents/Desktop/UCR/Maestria/PF-3311/seqreq_agent/docs/responses/"/>
    </mc:Choice>
  </mc:AlternateContent>
  <xr:revisionPtr revIDLastSave="183" documentId="11_F25DC773A252ABDACC1048EA019F45865BDE58F7" xr6:coauthVersionLast="47" xr6:coauthVersionMax="47" xr10:uidLastSave="{736C0FA1-1D32-432C-B1C2-28EF14547E25}"/>
  <bookViews>
    <workbookView xWindow="-108" yWindow="-108" windowWidth="23256" windowHeight="12456" xr2:uid="{00000000-000D-0000-FFFF-FFFF00000000}"/>
  </bookViews>
  <sheets>
    <sheet name="SR" sheetId="1" r:id="rId1"/>
    <sheet name="S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2" l="1"/>
  <c r="L5" i="2"/>
  <c r="L4" i="2"/>
  <c r="L3" i="2"/>
  <c r="L2" i="2"/>
  <c r="K6" i="2"/>
  <c r="J6" i="2"/>
  <c r="I6" i="2"/>
  <c r="H6" i="2"/>
  <c r="G6" i="2"/>
  <c r="F6" i="2"/>
  <c r="E6" i="2"/>
  <c r="D6" i="2"/>
  <c r="C6" i="2"/>
  <c r="B6" i="2"/>
  <c r="E6" i="1"/>
  <c r="F6" i="1"/>
  <c r="D6" i="1"/>
  <c r="C6" i="1"/>
  <c r="B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<sst xmlns="http://schemas.openxmlformats.org/spreadsheetml/2006/main" count="20" uniqueCount="17">
  <si>
    <t>Participante</t>
  </si>
  <si>
    <t>TP</t>
  </si>
  <si>
    <t>FP</t>
  </si>
  <si>
    <t>FN</t>
  </si>
  <si>
    <t xml:space="preserve">Recall </t>
  </si>
  <si>
    <t>Presicion</t>
  </si>
  <si>
    <t>Total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</si>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</sst>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18" sqref="E18"/>
    </sheetView>
  </sheetViews>
  <sheetFormatPr baseColWidth="10" defaultColWidth="8.88671875" defaultRowHeight="14.4" x14ac:dyDescent="0.3"/>
  <cols>
    <col min="1" max="1" width="10.77734375" bestFit="1" customWidth="1"/>
    <col min="2" max="3" width="3" bestFit="1" customWidth="1"/>
    <col min="4" max="4" width="3.21875" bestFit="1" customWidth="1"/>
    <col min="5" max="6" width="12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</v>
      </c>
      <c r="B2" s="1">
        <v>5</v>
      </c>
      <c r="C2" s="1">
        <v>3</v>
      </c>
      <c r="D2" s="1">
        <v>2</v>
      </c>
      <c r="E2" s="1">
        <f>$B2/($B2+$D2)</f>
        <v>0.7142857142857143</v>
      </c>
      <c r="F2" s="1">
        <f>$B2/($B2+$C2)</f>
        <v>0.625</v>
      </c>
    </row>
    <row r="3" spans="1:6" x14ac:dyDescent="0.3">
      <c r="A3" s="1">
        <v>2</v>
      </c>
      <c r="B3" s="1">
        <v>7</v>
      </c>
      <c r="C3" s="1">
        <v>5</v>
      </c>
      <c r="D3" s="1">
        <v>0</v>
      </c>
      <c r="E3" s="1">
        <f t="shared" ref="E3:E6" si="0">$B3/($B3+$D3)</f>
        <v>1</v>
      </c>
      <c r="F3" s="1">
        <f t="shared" ref="F3:F7" si="1">$B3/($B3+$C3)</f>
        <v>0.58333333333333337</v>
      </c>
    </row>
    <row r="4" spans="1:6" x14ac:dyDescent="0.3">
      <c r="A4" s="1">
        <v>3</v>
      </c>
      <c r="B4" s="1">
        <v>5</v>
      </c>
      <c r="C4" s="1">
        <v>6</v>
      </c>
      <c r="D4" s="1">
        <v>2</v>
      </c>
      <c r="E4" s="1">
        <f t="shared" si="0"/>
        <v>0.7142857142857143</v>
      </c>
      <c r="F4" s="1">
        <f t="shared" si="1"/>
        <v>0.45454545454545453</v>
      </c>
    </row>
    <row r="5" spans="1:6" x14ac:dyDescent="0.3">
      <c r="A5" s="1">
        <v>4</v>
      </c>
      <c r="B5" s="1">
        <v>6</v>
      </c>
      <c r="C5" s="1">
        <v>5</v>
      </c>
      <c r="D5" s="1">
        <v>1</v>
      </c>
      <c r="E5" s="1">
        <f t="shared" si="0"/>
        <v>0.8571428571428571</v>
      </c>
      <c r="F5" s="1">
        <f t="shared" si="1"/>
        <v>0.54545454545454541</v>
      </c>
    </row>
    <row r="6" spans="1:6" x14ac:dyDescent="0.3">
      <c r="A6" s="2" t="s">
        <v>6</v>
      </c>
      <c r="B6" s="2">
        <f>SUM(B2:B5)</f>
        <v>23</v>
      </c>
      <c r="C6" s="2">
        <f>SUM(C2:C5)</f>
        <v>19</v>
      </c>
      <c r="D6" s="2">
        <f>SUM(D2:D5)</f>
        <v>5</v>
      </c>
      <c r="E6" s="2">
        <f>$B6/($B6+$D6)</f>
        <v>0.8214285714285714</v>
      </c>
      <c r="F6" s="2">
        <f t="shared" si="1"/>
        <v>0.54761904761904767</v>
      </c>
    </row>
  </sheetData>
  <pageMargins left="0.7" right="0.7" top="0.75" bottom="0.75" header="0.3" footer="0.3"/>
  <pageSetup orientation="portrait" horizontalDpi="0" verticalDpi="0" copies="2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D2892-CA2C-4DAD-853D-504A02E1E442}">
  <dimension ref="A1:L6"/>
  <sheetViews>
    <sheetView workbookViewId="0">
      <selection activeCell="L2" sqref="L2"/>
    </sheetView>
  </sheetViews>
  <sheetFormatPr baseColWidth="10" defaultRowHeight="14.4" x14ac:dyDescent="0.3"/>
  <sheetData>
    <row r="1" spans="1:12" x14ac:dyDescent="0.3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3" t="s">
        <v>6</v>
      </c>
    </row>
    <row r="2" spans="1:12" x14ac:dyDescent="0.3">
      <c r="A2" s="1">
        <v>1</v>
      </c>
      <c r="B2" s="1">
        <v>2</v>
      </c>
      <c r="C2" s="1">
        <v>2</v>
      </c>
      <c r="D2" s="1">
        <v>3</v>
      </c>
      <c r="E2" s="1">
        <v>3</v>
      </c>
      <c r="F2" s="1">
        <v>2</v>
      </c>
      <c r="G2" s="1">
        <v>2</v>
      </c>
      <c r="H2" s="1">
        <v>3</v>
      </c>
      <c r="I2" s="1">
        <v>2</v>
      </c>
      <c r="J2" s="1">
        <v>3</v>
      </c>
      <c r="K2" s="1">
        <v>0</v>
      </c>
      <c r="L2" s="4">
        <f>SUM(B2:K2)*2.5</f>
        <v>55</v>
      </c>
    </row>
    <row r="3" spans="1:12" x14ac:dyDescent="0.3">
      <c r="A3" s="1">
        <v>2</v>
      </c>
      <c r="B3" s="1">
        <v>3</v>
      </c>
      <c r="C3" s="1">
        <v>3</v>
      </c>
      <c r="D3" s="1">
        <v>4</v>
      </c>
      <c r="E3" s="1">
        <v>3</v>
      </c>
      <c r="F3" s="1">
        <v>3</v>
      </c>
      <c r="G3" s="1">
        <v>3</v>
      </c>
      <c r="H3" s="1">
        <v>4</v>
      </c>
      <c r="I3" s="1">
        <v>3</v>
      </c>
      <c r="J3" s="1">
        <v>4</v>
      </c>
      <c r="K3" s="1">
        <v>3</v>
      </c>
      <c r="L3" s="4">
        <f t="shared" ref="L3:L5" si="0">SUM(B3:K3)*2.5</f>
        <v>82.5</v>
      </c>
    </row>
    <row r="4" spans="1:12" x14ac:dyDescent="0.3">
      <c r="A4" s="1">
        <v>3</v>
      </c>
      <c r="B4" s="1">
        <v>2</v>
      </c>
      <c r="C4" s="1">
        <v>3</v>
      </c>
      <c r="D4" s="1">
        <v>3</v>
      </c>
      <c r="E4" s="1">
        <v>2</v>
      </c>
      <c r="F4" s="1">
        <v>2</v>
      </c>
      <c r="G4" s="1">
        <v>2</v>
      </c>
      <c r="H4" s="1">
        <v>3</v>
      </c>
      <c r="I4" s="1">
        <v>3</v>
      </c>
      <c r="J4" s="1">
        <v>4</v>
      </c>
      <c r="K4" s="1">
        <v>4</v>
      </c>
      <c r="L4" s="4">
        <f t="shared" si="0"/>
        <v>70</v>
      </c>
    </row>
    <row r="5" spans="1:12" x14ac:dyDescent="0.3">
      <c r="A5" s="1">
        <v>4</v>
      </c>
      <c r="B5" s="1">
        <v>4</v>
      </c>
      <c r="C5" s="1">
        <v>0</v>
      </c>
      <c r="D5" s="1">
        <v>3</v>
      </c>
      <c r="E5" s="1">
        <v>2</v>
      </c>
      <c r="F5" s="1">
        <v>4</v>
      </c>
      <c r="G5" s="1">
        <v>0</v>
      </c>
      <c r="H5" s="1">
        <v>4</v>
      </c>
      <c r="I5" s="1">
        <v>4</v>
      </c>
      <c r="J5" s="1">
        <v>4</v>
      </c>
      <c r="K5" s="1">
        <v>3</v>
      </c>
      <c r="L5" s="4">
        <f t="shared" si="0"/>
        <v>70</v>
      </c>
    </row>
    <row r="6" spans="1:12" x14ac:dyDescent="0.3">
      <c r="A6" s="2" t="s">
        <v>6</v>
      </c>
      <c r="B6" s="2">
        <f>SUM(B2:B5)</f>
        <v>11</v>
      </c>
      <c r="C6" s="2">
        <f t="shared" ref="C6:K6" si="1">SUM(C2:C5)</f>
        <v>8</v>
      </c>
      <c r="D6" s="2">
        <f t="shared" si="1"/>
        <v>13</v>
      </c>
      <c r="E6" s="2">
        <f t="shared" si="1"/>
        <v>10</v>
      </c>
      <c r="F6" s="2">
        <f t="shared" si="1"/>
        <v>11</v>
      </c>
      <c r="G6" s="2">
        <f t="shared" si="1"/>
        <v>7</v>
      </c>
      <c r="H6" s="2">
        <f t="shared" si="1"/>
        <v>14</v>
      </c>
      <c r="I6" s="2">
        <f t="shared" si="1"/>
        <v>12</v>
      </c>
      <c r="J6" s="2">
        <f t="shared" si="1"/>
        <v>15</v>
      </c>
      <c r="K6" s="2">
        <f t="shared" si="1"/>
        <v>10</v>
      </c>
      <c r="L6" s="4">
        <f>SUM(L2:L5)/4</f>
        <v>69.375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SR</vt:lpstr>
      <vt:lpstr>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Pérez Morera</dc:creator>
  <cp:lastModifiedBy>DANIEL ALBERTO PEREZ MORERA</cp:lastModifiedBy>
  <dcterms:created xsi:type="dcterms:W3CDTF">2015-06-05T18:17:20Z</dcterms:created>
  <dcterms:modified xsi:type="dcterms:W3CDTF">2026-06-23T04:14:47Z</dcterms:modified>
</cp:coreProperties>
</file>